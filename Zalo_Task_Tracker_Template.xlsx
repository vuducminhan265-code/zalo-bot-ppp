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Task_Tracker" sheetId="1" state="visible" r:id="rId1"/>
  </sheets>
  <definedNames/>
  <calcPr calcId="191029" fullCalcOnLoad="1"/>
</workbook>
</file>

<file path=xl/styles.xml><?xml version="1.0" encoding="utf-8"?>
<styleSheet xmlns="http://schemas.openxmlformats.org/spreadsheetml/2006/main">
  <numFmts count="0"/>
  <fonts count="7">
    <font>
      <name val="Calibri"/>
      <family val="2"/>
      <color theme="1"/>
      <sz val="11"/>
      <scheme val="minor"/>
    </font>
    <font>
      <name val="Segoe UI"/>
      <b val="1"/>
      <color rgb="FF1F4E78"/>
      <sz val="16"/>
    </font>
    <font>
      <name val="Segoe UI"/>
      <i val="1"/>
      <color rgb="FF595959"/>
      <sz val="10"/>
    </font>
    <font>
      <name val="Segoe UI"/>
      <b val="1"/>
      <color rgb="FF595959"/>
      <sz val="9"/>
    </font>
    <font>
      <name val="Segoe UI"/>
      <b val="1"/>
      <color rgb="FF1F4E78"/>
      <sz val="18"/>
    </font>
    <font>
      <name val="Segoe UI"/>
      <b val="1"/>
      <color rgb="FFFFFFFF"/>
      <sz val="11"/>
    </font>
    <font>
      <name val="Segoe UI"/>
      <color rgb="FF000000"/>
      <sz val="10"/>
    </font>
  </fonts>
  <fills count="7">
    <fill>
      <patternFill/>
    </fill>
    <fill>
      <patternFill patternType="gray125"/>
    </fill>
    <fill>
      <patternFill patternType="solid">
        <fgColor rgb="FFF2F4F8"/>
        <bgColor rgb="FFF2F4F8"/>
      </patternFill>
    </fill>
    <fill>
      <patternFill patternType="solid">
        <fgColor rgb="FFFCE4D6"/>
        <bgColor rgb="FFFCE4D6"/>
      </patternFill>
    </fill>
    <fill>
      <patternFill patternType="solid">
        <fgColor rgb="FFFFF2CC"/>
        <bgColor rgb="FFFFF2CC"/>
      </patternFill>
    </fill>
    <fill>
      <patternFill patternType="solid">
        <fgColor rgb="FFE2EFDA"/>
        <bgColor rgb="FFE2EFDA"/>
      </patternFill>
    </fill>
    <fill>
      <patternFill patternType="solid">
        <fgColor rgb="FF1F4E78"/>
        <bgColor rgb="FF1F4E78"/>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8">
    <xf numFmtId="0" fontId="0" fillId="0" borderId="0" pivotButton="0" quotePrefix="0" xfId="0"/>
    <xf numFmtId="0" fontId="5" fillId="6" borderId="1" applyAlignment="1" pivotButton="0" quotePrefix="0" xfId="0">
      <alignment horizontal="center" vertical="center" wrapText="1"/>
    </xf>
    <xf numFmtId="0" fontId="6" fillId="0" borderId="1" applyAlignment="1" pivotButton="0" quotePrefix="0" xfId="0">
      <alignment horizontal="center" vertical="center"/>
    </xf>
    <xf numFmtId="0" fontId="6" fillId="0" borderId="1" applyAlignment="1" pivotButton="0" quotePrefix="0" xfId="0">
      <alignment horizontal="left" vertical="center" wrapText="1"/>
    </xf>
    <xf numFmtId="0" fontId="6" fillId="4" borderId="1" applyAlignment="1" pivotButton="0" quotePrefix="0" xfId="0">
      <alignment horizontal="center" vertical="center"/>
    </xf>
    <xf numFmtId="0" fontId="6" fillId="3" borderId="1" applyAlignment="1" pivotButton="0" quotePrefix="0" xfId="0">
      <alignment horizontal="center" vertical="center"/>
    </xf>
    <xf numFmtId="0" fontId="6" fillId="5" borderId="1" applyAlignment="1" pivotButton="0" quotePrefix="0" xfId="0">
      <alignment horizontal="center" vertical="center"/>
    </xf>
    <xf numFmtId="0" fontId="3" fillId="4" borderId="0" applyAlignment="1" pivotButton="0" quotePrefix="0" xfId="0">
      <alignment horizontal="center" vertical="center"/>
    </xf>
    <xf numFmtId="0" fontId="0" fillId="0" borderId="0" pivotButton="0" quotePrefix="0" xfId="0"/>
    <xf numFmtId="0" fontId="1" fillId="0" borderId="0" applyAlignment="1" pivotButton="0" quotePrefix="0" xfId="0">
      <alignment vertical="center"/>
    </xf>
    <xf numFmtId="0" fontId="4" fillId="2" borderId="0" applyAlignment="1" pivotButton="0" quotePrefix="0" xfId="0">
      <alignment horizontal="center" vertical="center"/>
    </xf>
    <xf numFmtId="0" fontId="4" fillId="4" borderId="0" applyAlignment="1" pivotButton="0" quotePrefix="0" xfId="0">
      <alignment horizontal="center" vertical="center"/>
    </xf>
    <xf numFmtId="0" fontId="4" fillId="3" borderId="0" applyAlignment="1" pivotButton="0" quotePrefix="0" xfId="0">
      <alignment horizontal="center" vertical="center"/>
    </xf>
    <xf numFmtId="0" fontId="4" fillId="5" borderId="0" applyAlignment="1" pivotButton="0" quotePrefix="0" xfId="0">
      <alignment horizontal="center" vertical="center"/>
    </xf>
    <xf numFmtId="0" fontId="3" fillId="3" borderId="0" applyAlignment="1" pivotButton="0" quotePrefix="0" xfId="0">
      <alignment horizontal="center" vertical="center"/>
    </xf>
    <xf numFmtId="0" fontId="3" fillId="5" borderId="0" applyAlignment="1" pivotButton="0" quotePrefix="0" xfId="0">
      <alignment horizontal="center" vertical="center"/>
    </xf>
    <xf numFmtId="0" fontId="2" fillId="0" borderId="0" applyAlignment="1" pivotButton="0" quotePrefix="0" xfId="0">
      <alignment vertical="center"/>
    </xf>
    <xf numFmtId="0" fontId="3" fillId="2" borderId="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
  <sheetViews>
    <sheetView tabSelected="1" workbookViewId="0">
      <selection activeCell="B8" sqref="B8"/>
    </sheetView>
  </sheetViews>
  <sheetFormatPr baseColWidth="8" defaultRowHeight="14.4"/>
  <cols>
    <col width="12" customWidth="1" style="8" min="1" max="1"/>
    <col width="36" customWidth="1" style="8" min="2" max="2"/>
    <col width="18" customWidth="1" style="8" min="3" max="3"/>
    <col width="16" customWidth="1" style="8" min="4" max="5"/>
    <col width="18" customWidth="1" style="8" min="6" max="6"/>
    <col width="24" customWidth="1" style="8" min="7" max="7"/>
    <col width="42" customWidth="1" style="8" min="8" max="8"/>
    <col width="18" customWidth="1" style="8" min="9" max="9"/>
    <col width="26" customWidth="1" style="8" min="10" max="10"/>
  </cols>
  <sheetData>
    <row r="1" ht="24.6" customHeight="1" s="8">
      <c r="A1" s="9" t="inlineStr">
        <is>
          <t>HỆ THỐNG QUẢN LÝ TIẾN ĐỘ NHIỆM VỤ &amp; NHẬN DIỆN NỘP FILE (ZALO BOT)</t>
        </is>
      </c>
    </row>
    <row r="2" ht="15" customHeight="1" s="8">
      <c r="A2" s="16" t="inlineStr">
        <is>
          <t>Dữ liệu được cập nhật tự động qua Zalo Bot tích hợp AI Gemini / Claude • Sẵn sàng đồng bộ Google Sheets</t>
        </is>
      </c>
    </row>
    <row r="4" ht="19.95" customHeight="1" s="8">
      <c r="B4" s="17" t="inlineStr">
        <is>
          <t>TỔNG SỐ NHIỆM VỤ</t>
        </is>
      </c>
      <c r="D4" s="14" t="inlineStr">
        <is>
          <t>CHƯA BẮT ĐẦU</t>
        </is>
      </c>
      <c r="F4" s="7" t="inlineStr">
        <is>
          <t>ĐANG THỰC HIỆN</t>
        </is>
      </c>
      <c r="H4" s="15" t="inlineStr">
        <is>
          <t>ĐÃ HOÀN THÀNH</t>
        </is>
      </c>
    </row>
    <row r="5" ht="30" customHeight="1" s="8">
      <c r="B5" s="10">
        <f>COUNTA(A8:A100)</f>
        <v/>
      </c>
      <c r="D5" s="12">
        <f>COUNTIF(F8:F100, "Chưa bắt đầu")</f>
        <v/>
      </c>
      <c r="F5" s="11">
        <f>COUNTIF(F8:F100, "Đang thực hiện")</f>
        <v/>
      </c>
      <c r="H5" s="13">
        <f>COUNTIF(F8:F100, "Đã hoàn thành")</f>
        <v/>
      </c>
    </row>
    <row r="7" ht="28.05" customHeight="1" s="8">
      <c r="A7" s="1" t="inlineStr">
        <is>
          <t>Task ID</t>
        </is>
      </c>
      <c r="B7" s="1" t="inlineStr">
        <is>
          <t>Tên nhiệm vụ / Công việc</t>
        </is>
      </c>
      <c r="C7" s="1" t="inlineStr">
        <is>
          <t>Người phụ trách</t>
        </is>
      </c>
      <c r="D7" s="1" t="inlineStr">
        <is>
          <t>Hạn hoàn thành</t>
        </is>
      </c>
      <c r="E7" s="1" t="inlineStr">
        <is>
          <t>Mức độ ưu tiên</t>
        </is>
      </c>
      <c r="F7" s="1" t="inlineStr">
        <is>
          <t>Trạng thái</t>
        </is>
      </c>
      <c r="G7" s="1" t="inlineStr">
        <is>
          <t>Sản phẩm yêu cầu</t>
        </is>
      </c>
      <c r="H7" s="1" t="inlineStr">
        <is>
          <t>Đánh giá AI (Tóm tắt file nộp)</t>
        </is>
      </c>
      <c r="I7" s="1" t="inlineStr">
        <is>
          <t>Thời gian nộp</t>
        </is>
      </c>
      <c r="J7" s="1" t="inlineStr">
        <is>
          <t>Tên file đã nộp</t>
        </is>
      </c>
    </row>
    <row r="8" ht="24" customHeight="1" s="8">
      <c r="A8" s="2" t="inlineStr">
        <is>
          <t>1</t>
        </is>
      </c>
      <c r="B8" s="3" t="inlineStr">
        <is>
          <t>Về giao nhiệm vụ lập hồ sơ báo cáo đề xuất chủ trương đầu tư Dự án Nâng cấp, mở rộng tuyến đường Trần Hưng Đạo kết hợp xây dựng công viên, bãi tắm công cộng ven biển Phước Hải theo phương thức đối tác công tư (Hợp đồng BT) của Công ty Cổ phần Phát triển Bất động sản Phát Đạt</t>
        </is>
      </c>
      <c r="C8" s="2" t="inlineStr">
        <is>
          <t>Nguyễn Thế Hòa</t>
        </is>
      </c>
      <c r="D8" s="2" t="inlineStr">
        <is>
          <t>2026-10-31</t>
        </is>
      </c>
      <c r="E8" s="2" t="inlineStr">
        <is>
          <t>Gấp</t>
        </is>
      </c>
      <c r="F8" s="4" t="inlineStr">
        <is>
          <t>Đang thực hiện</t>
        </is>
      </c>
      <c r="G8" s="3" t="inlineStr">
        <is>
          <t>Công văn</t>
        </is>
      </c>
      <c r="H8" s="3" t="n"/>
      <c r="I8" s="2" t="n"/>
      <c r="J8" s="3" t="n"/>
    </row>
    <row r="9" ht="24" customHeight="1" s="8">
      <c r="A9" s="2" t="inlineStr">
        <is>
          <t>2</t>
        </is>
      </c>
      <c r="B9" s="3" t="inlineStr">
        <is>
          <t>V/v giao nhiệm vụ lập hồ sơ báo cáo đề xuất chủ trương đầu tư Dự án Nâng cấp, mở rộng tuyến đường Trần Hưng Đạo kết hợp xây dựng công viên, bãi tắm công cộng ven biển Phước Hải theo phương thức đối tác công tư (Hợp đồng BT) của Công ty Cổ phần Phát triển Bất động sản Phát Đạt</t>
        </is>
      </c>
      <c r="C9" s="2" t="inlineStr">
        <is>
          <t>Nguyễn Thế Hòa</t>
        </is>
      </c>
      <c r="D9" s="2" t="inlineStr">
        <is>
          <t>2026-10-31</t>
        </is>
      </c>
      <c r="E9" s="2" t="inlineStr">
        <is>
          <t>Gấp</t>
        </is>
      </c>
      <c r="F9" s="5" t="inlineStr">
        <is>
          <t>Đang thực hiện</t>
        </is>
      </c>
      <c r="G9" s="3" t="inlineStr">
        <is>
          <t>Công văn</t>
        </is>
      </c>
      <c r="H9" s="3" t="n"/>
      <c r="I9" s="2" t="n"/>
      <c r="J9" s="3" t="n"/>
    </row>
    <row r="10" ht="24" customHeight="1" s="8">
      <c r="A10" s="2" t="inlineStr">
        <is>
          <t>3</t>
        </is>
      </c>
      <c r="B10" s="3" t="inlineStr">
        <is>
          <t>V/v giao nhiệm vụ lập hồ sơ báo cáo đề xuất chủ trương đầu tư Dự án Nâng cấp, mở rộng tuyến đường Trần Hưng Đạo kết hợp xây dựng công viên, bãi tắm công cộng ven biển Phước Hải theo phương thức đối tác công tư (Hợp đồng BT) của Công ty Cổ phần Phát triển Bất động sản Phát Đạt.</t>
        </is>
      </c>
      <c r="C10" s="2" t="inlineStr">
        <is>
          <t>Nguyễn Thế Hòa</t>
        </is>
      </c>
      <c r="D10" s="2" t="inlineStr">
        <is>
          <t>2026-10-31</t>
        </is>
      </c>
      <c r="E10" s="2" t="inlineStr">
        <is>
          <t>Gấp</t>
        </is>
      </c>
      <c r="F10" s="6" t="inlineStr">
        <is>
          <t>Đang thực hiện</t>
        </is>
      </c>
      <c r="G10" s="3" t="inlineStr">
        <is>
          <t>Công văn</t>
        </is>
      </c>
      <c r="H10" s="3" t="n"/>
      <c r="I10" s="2" t="n"/>
      <c r="J10" s="3" t="n"/>
    </row>
    <row r="11" ht="24" customHeight="1" s="8">
      <c r="A11" s="2" t="inlineStr">
        <is>
          <t>4</t>
        </is>
      </c>
      <c r="B11" s="3" t="inlineStr">
        <is>
          <t>Dự án Chỉnh trang đô thị Khu Mả Lạng và Chợ Gà - Gạo trên địa bàn phường Cầu Ông Lãnh và phường Bến Thành, Thành phố Hồ Chí Minh theo phương thức đối tác công tư (Hợp đồng BT)</t>
        </is>
      </c>
      <c r="C11" s="2" t="inlineStr">
        <is>
          <t>Nguyễn Trung Bảo Lộc</t>
        </is>
      </c>
      <c r="D11" s="2" t="inlineStr">
        <is>
          <t>2026-10-31</t>
        </is>
      </c>
      <c r="E11" s="2" t="inlineStr">
        <is>
          <t>Gấp</t>
        </is>
      </c>
      <c r="F11" s="5" t="inlineStr">
        <is>
          <t>Đã hoàn thành</t>
        </is>
      </c>
      <c r="G11" s="3" t="inlineStr">
        <is>
          <t>Công văn</t>
        </is>
      </c>
      <c r="H11" s="3" t="n"/>
      <c r="I11" s="2" t="n"/>
      <c r="J11" s="3" t="n"/>
    </row>
    <row r="12">
      <c r="A12" t="inlineStr">
        <is>
          <t>5</t>
        </is>
      </c>
      <c r="B12" t="inlineStr">
        <is>
          <t>dự án thành phần 3: Bồi thường, hỗ trợ, tái định cư cao tốc Thành phố Hồ Chí Minh - Mộc Bài đoạn qua Thành phố Hồ Chí Minh thuộc dự án đầu tư xây dựng đường cao tốc Thành phố Hồ Chí Minh - Mộc Bài (giai đoạn 1)</t>
        </is>
      </c>
      <c r="C12" t="inlineStr">
        <is>
          <t>Hoàng Thị Hương Giang</t>
        </is>
      </c>
      <c r="D12" t="inlineStr">
        <is>
          <t>2026-10-31</t>
        </is>
      </c>
      <c r="E12" t="inlineStr">
        <is>
          <t>Gấp</t>
        </is>
      </c>
      <c r="F12" t="inlineStr">
        <is>
          <t>Đang sửa lại</t>
        </is>
      </c>
      <c r="G12" t="inlineStr">
        <is>
          <t>Công văn</t>
        </is>
      </c>
    </row>
    <row r="13">
      <c r="A13" t="inlineStr">
        <is>
          <t>6</t>
        </is>
      </c>
      <c r="B13" t="inlineStr">
        <is>
          <t>Về thành lập Hội đồng thẩm định báo cáo nghiên cứu khả thi Dự án Khu liên hợp thể dục thể thao quốc gia Rạch Chiếc</t>
        </is>
      </c>
      <c r="C13" t="inlineStr">
        <is>
          <t>Nguyễn Thế Hòa</t>
        </is>
      </c>
      <c r="D13" t="inlineStr">
        <is>
          <t>2026-10-31</t>
        </is>
      </c>
      <c r="E13" t="inlineStr">
        <is>
          <t>Gấp</t>
        </is>
      </c>
      <c r="F13" t="inlineStr">
        <is>
          <t>Đang thực hiện</t>
        </is>
      </c>
      <c r="G13" t="inlineStr">
        <is>
          <t>Công văn</t>
        </is>
      </c>
    </row>
    <row r="14">
      <c r="A14" t="inlineStr">
        <is>
          <t>7</t>
        </is>
      </c>
      <c r="B14" t="inlineStr">
        <is>
          <t>Thẩm định Báo cáo nghiên cứu khả thi đầu tư xây dựng Dự án Khu liên hợp thể dục thể thao quốc gia Rạch Chiếc theo phương thức đối tác công tư (PPP) Hạng mục hạ tầng kỹ thuật toàn khu</t>
        </is>
      </c>
      <c r="C14" t="inlineStr">
        <is>
          <t>Nguyễn Thế Hòa</t>
        </is>
      </c>
      <c r="D14" t="inlineStr">
        <is>
          <t>2026-10-31</t>
        </is>
      </c>
      <c r="E14" t="inlineStr">
        <is>
          <t>Gấp</t>
        </is>
      </c>
      <c r="F14" t="inlineStr">
        <is>
          <t>Đang thực hiện</t>
        </is>
      </c>
      <c r="G14" t="inlineStr">
        <is>
          <t>Tờ trình</t>
        </is>
      </c>
    </row>
    <row r="15"/>
    <row r="16"/>
    <row r="17"/>
    <row r="18"/>
    <row r="19"/>
    <row r="20"/>
    <row r="21"/>
    <row r="22"/>
    <row r="23"/>
    <row r="24"/>
  </sheetData>
  <mergeCells count="10">
    <mergeCell ref="F4:G4"/>
    <mergeCell ref="A1:J1"/>
    <mergeCell ref="B5:C5"/>
    <mergeCell ref="F5:G5"/>
    <mergeCell ref="D5:E5"/>
    <mergeCell ref="H5:I5"/>
    <mergeCell ref="D4:E4"/>
    <mergeCell ref="H4:I4"/>
    <mergeCell ref="A2:J2"/>
    <mergeCell ref="B4:C4"/>
  </mergeCells>
  <dataValidations count="2">
    <dataValidation sqref="F8:F100" showDropDown="0" showInputMessage="0" showErrorMessage="0" allowBlank="1" type="list">
      <formula1>"Chưa bắt đầu,Đang thực hiện,Đã hoàn thành"</formula1>
    </dataValidation>
    <dataValidation sqref="E8:E100" showDropDown="0" showInputMessage="0" showErrorMessage="0" allowBlank="1" type="list">
      <formula1>"Gấp,Quan trọng,Bình thường"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2026-09-22T07:45:22Z</dcterms:created>
  <dcterms:modified xmlns:dcterms="http://purl.org/dc/terms/" xmlns:xsi="http://www.w3.org/2001/XMLSchema-instance" xsi:type="dcterms:W3CDTF">2026-10-20T03:32:44Z</dcterms:modified>
  <cp:lastModifiedBy>An VU</cp:lastModifiedBy>
</cp:coreProperties>
</file>